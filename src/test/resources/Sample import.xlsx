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2idd.sharepoint.com/sites/PostXL/Shared Documents/Tech/xlPort/"/>
    </mc:Choice>
  </mc:AlternateContent>
  <xr:revisionPtr revIDLastSave="12" documentId="8_{EAC9CF32-150E-4CAB-9A9F-51606E67EC57}" xr6:coauthVersionLast="40" xr6:coauthVersionMax="40" xr10:uidLastSave="{4275A977-57CD-4B46-8847-327FD1C346E0}"/>
  <bookViews>
    <workbookView xWindow="0" yWindow="0" windowWidth="38400" windowHeight="7110" xr2:uid="{CF41F8A1-61A1-4F07-9B27-8210A5435265}"/>
  </bookViews>
  <sheets>
    <sheet name="API Call and Result" sheetId="3" r:id="rId1"/>
    <sheet name="Table" sheetId="2" r:id="rId2"/>
    <sheet name="Object" sheetId="1" r:id="rId3"/>
  </sheets>
  <definedNames>
    <definedName name="LastUpdated">Object!$B$6</definedName>
    <definedName name="ProjectId">Object!$B$3</definedName>
    <definedName name="ProjectLabel">Object!$B$4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</calcChain>
</file>

<file path=xl/sharedStrings.xml><?xml version="1.0" encoding="utf-8"?>
<sst xmlns="http://schemas.openxmlformats.org/spreadsheetml/2006/main" count="47" uniqueCount="39">
  <si>
    <t>Id</t>
  </si>
  <si>
    <t>Name</t>
  </si>
  <si>
    <t>StatusId</t>
  </si>
  <si>
    <t>SavingsPotential</t>
  </si>
  <si>
    <t>IsComplete</t>
  </si>
  <si>
    <t>Calculated column</t>
  </si>
  <si>
    <t>Initiatives</t>
  </si>
  <si>
    <t>Status</t>
  </si>
  <si>
    <t>Label</t>
  </si>
  <si>
    <t>Milestones</t>
  </si>
  <si>
    <t>InitiativeId</t>
  </si>
  <si>
    <t>StartDate</t>
  </si>
  <si>
    <t>EndDate</t>
  </si>
  <si>
    <t>Id:</t>
  </si>
  <si>
    <t>Label:</t>
  </si>
  <si>
    <t>Last update:</t>
  </si>
  <si>
    <t>Project data</t>
  </si>
  <si>
    <t>Project name</t>
  </si>
  <si>
    <t>uuidInitiative1</t>
  </si>
  <si>
    <t>uuidInitiative2</t>
  </si>
  <si>
    <t>uuidInitiative3</t>
  </si>
  <si>
    <t>Initiative 1</t>
  </si>
  <si>
    <t>Initiative 2</t>
  </si>
  <si>
    <t>Initiative 3</t>
  </si>
  <si>
    <t>uuidStatus1</t>
  </si>
  <si>
    <t>uuidStatus2</t>
  </si>
  <si>
    <t>uuidStatus3</t>
  </si>
  <si>
    <t>Achievement</t>
  </si>
  <si>
    <t>On track</t>
  </si>
  <si>
    <t>Some progress</t>
  </si>
  <si>
    <t>Delayed</t>
  </si>
  <si>
    <t>uuidMS1</t>
  </si>
  <si>
    <t>uuidMS2</t>
  </si>
  <si>
    <t>uuidMS3</t>
  </si>
  <si>
    <t>uuid2</t>
  </si>
  <si>
    <t>Call:</t>
  </si>
  <si>
    <t>Result:</t>
  </si>
  <si>
    <t>{
  "properties": ["projectId", "projectName", "lastUpdated"],
  "tables": {
    "initiatives": ["id", "label", "statusId", "savingsPotential", "achievement", "isComplete"],
    "status": ["id", "label"],
    "milestones": ["id", "initiativeId", "startDate", "endDate"]
  }
}</t>
  </si>
  <si>
    <t>{
  "properties": {
    "projectId": "uuid2",
    "projectName": "Project Name",
    "lastUpdated": "2018-12-14T14:51:12.977Z"
  },
  "tables": {
    "initiatives": [
      {"id": "uuidInitiative1", "label": "Initiaitve 1", "statusId": "uuidStatus1", "savingsPotential": 123.3, "achievement": 0.12, "isComplete": false},
      {"id": "uuidInitiative2", "label": "Initiaitve 2", "statusId": "uuidStatus2", "savingsPotential": null, "achievement": 0, "isComplete": true},
      {"id": "uuidInitiative3", "label": "Initiaitve 3", "statusId": "uuidStatus3", "savingsPotential": 456, "achievement": 0.2, "isComplete": false}        
    ],
    "status": [
      {"id": "uuidStatus1", "label": "On track"},
      {"id": "uuidStatus2", "label": "Some progress"},
      {"id": "uuidStatus3", "label": "Delayed"}
    ],
    "milestones": [
      {"id": "uuidMS1", "initiativeId": "uuidInitiative1", "startDate":"2018-12-01T00:00:00.00Z", "endDate":"2018-12-31T00:00:00.00Z"},
      {"id": "uuidMS2", "initiativeId": "uuidInitiative1", "startDate":"2018-12-01T00:00:00.00Z", "endDate":"2018-12-31T00:00:00.00Z"},
      {"id": "uuidMS3", "initiativeId": "uuidInitiative2", "startDate":"2018-12-01T00:00:00.00Z", "endDate":"2018-12-31T00:00:00.00Z"}              
    ]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</si>
</sst>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d/m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9" fontId="0" fillId="0" borderId="0" xfId="0" applyNumberFormat="1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0" fillId="0" borderId="1" xfId="0" applyBorder="1"/>
    <xf numFmtId="0" fontId="0" fillId="2" borderId="0" xfId="0" applyFill="1"/>
    <xf numFmtId="166" fontId="0" fillId="2" borderId="0" xfId="0" applyNumberFormat="1" applyFill="1"/>
    <xf numFmtId="0" fontId="0" fillId="0" borderId="0" xfId="0" applyAlignment="1">
      <alignment wrapText="1"/>
    </xf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13" formatCode="0%"/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13235-3F80-4EDE-9835-89E497B45996}" name="Initiatives" displayName="Initiatives" ref="A3:G6" totalsRowShown="0">
  <autoFilter ref="A3:G6" xr:uid="{88CEAC42-AD51-4B7A-9EFB-94AA4256B1EE}"/>
  <tableColumns count="7">
    <tableColumn id="1" xr3:uid="{346F9AC0-8BC5-4892-8B15-194489E13016}" name="Id"/>
    <tableColumn id="2" xr3:uid="{6DC9FD5E-A4E5-490F-A6F0-A84CC7A4DC4B}" name="Name"/>
    <tableColumn id="3" xr3:uid="{5F093576-C8B6-497F-B94A-FCCB65042CDF}" name="StatusId" dataDxfId="3"/>
    <tableColumn id="4" xr3:uid="{B3B7A1BF-5ABF-493B-AE36-394B94BEB858}" name="SavingsPotential" dataDxfId="1"/>
    <tableColumn id="7" xr3:uid="{BC6B33D5-B872-4BA6-B858-3056D1CE4F82}" name="Achievement" dataDxfId="2"/>
    <tableColumn id="5" xr3:uid="{195E40BF-D956-47A4-A200-8C71536B9F39}" name="IsComplete"/>
    <tableColumn id="6" xr3:uid="{387134F6-C92E-4631-B96E-B2805954EB05}" name="Calculated column" dataDxfId="0">
      <calculatedColumnFormula>Initiatives[SavingsPotential]*1.19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436ED9-D577-4E18-B454-3453B5126844}" name="Status" displayName="Status" ref="I3:J6" totalsRowShown="0">
  <autoFilter ref="I3:J6" xr:uid="{38F8F61F-06E8-4683-BB23-EA35109A017F}"/>
  <tableColumns count="2">
    <tableColumn id="1" xr3:uid="{6E20C607-2720-427D-8B65-E674BE75F81D}" name="Id"/>
    <tableColumn id="2" xr3:uid="{39E136E3-B666-4A87-B463-9E496BCC09D2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6520D3-494A-42C0-A1A2-401697ED650C}" name="Table4" displayName="Table4" ref="L3:O6" totalsRowShown="0">
  <autoFilter ref="L3:O6" xr:uid="{BF656118-D7BB-4AE4-8E22-35CE75E9D4CB}"/>
  <tableColumns count="4">
    <tableColumn id="1" xr3:uid="{AB2503EB-66D4-4396-9F21-1694876B2BE2}" name="Id"/>
    <tableColumn id="2" xr3:uid="{6EEAEE7C-B879-40B7-A80B-964DEEE62F96}" name="InitiativeId"/>
    <tableColumn id="3" xr3:uid="{BF7DA7EA-766D-440E-83E3-F8F51978730B}" name="StartDate" dataDxfId="5"/>
    <tableColumn id="4" xr3:uid="{E186F791-EAF7-42BB-BB97-DF328ADFF6B9}" name="EndDat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8A-52B0-46CF-B83D-C86053A2B7D9}">
  <dimension ref="A1:B2"/>
  <sheetViews>
    <sheetView tabSelected="1" workbookViewId="0"/>
  </sheetViews>
  <sheetFormatPr defaultRowHeight="14.5" x14ac:dyDescent="0.35"/>
  <cols>
    <col min="1" max="1" width="8.7265625" style="3"/>
    <col min="2" max="2" width="121.26953125" customWidth="1"/>
  </cols>
  <sheetData>
    <row r="1" spans="1:2" ht="116" x14ac:dyDescent="0.35">
      <c r="A1" s="3" t="s">
        <v>35</v>
      </c>
      <c r="B1" s="9" t="s">
        <v>37</v>
      </c>
    </row>
    <row r="2" spans="1:2" ht="348" x14ac:dyDescent="0.35">
      <c r="A2" s="3" t="s">
        <v>36</v>
      </c>
      <c r="B2" s="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2DB4-760D-45F1-9CE4-00CEDCF6B94E}">
  <dimension ref="A1:O6"/>
  <sheetViews>
    <sheetView workbookViewId="0">
      <selection activeCell="M6" sqref="M6"/>
    </sheetView>
  </sheetViews>
  <sheetFormatPr defaultRowHeight="14.5" x14ac:dyDescent="0.35"/>
  <cols>
    <col min="1" max="1" width="16.81640625" customWidth="1"/>
    <col min="2" max="2" width="15.54296875" customWidth="1"/>
    <col min="9" max="9" width="10.90625" bestFit="1" customWidth="1"/>
    <col min="10" max="10" width="13.453125" bestFit="1" customWidth="1"/>
    <col min="13" max="13" width="12.1796875" customWidth="1"/>
    <col min="14" max="14" width="10.81640625" customWidth="1"/>
    <col min="15" max="15" width="10" customWidth="1"/>
  </cols>
  <sheetData>
    <row r="1" spans="1:15" ht="15" thickBot="1" x14ac:dyDescent="0.4">
      <c r="A1" s="4" t="s">
        <v>6</v>
      </c>
      <c r="B1" s="4"/>
      <c r="C1" s="4"/>
      <c r="D1" s="4"/>
      <c r="E1" s="4"/>
      <c r="F1" s="4"/>
      <c r="G1" s="4"/>
      <c r="I1" s="4" t="s">
        <v>7</v>
      </c>
      <c r="J1" s="4"/>
      <c r="L1" s="4" t="s">
        <v>9</v>
      </c>
      <c r="M1" s="4"/>
      <c r="N1" s="4"/>
      <c r="O1" s="4"/>
    </row>
    <row r="3" spans="1:15" x14ac:dyDescent="0.35">
      <c r="A3" t="s">
        <v>0</v>
      </c>
      <c r="B3" t="s">
        <v>1</v>
      </c>
      <c r="C3" t="s">
        <v>2</v>
      </c>
      <c r="D3" t="s">
        <v>3</v>
      </c>
      <c r="E3" t="s">
        <v>27</v>
      </c>
      <c r="F3" t="s">
        <v>4</v>
      </c>
      <c r="G3" t="s">
        <v>5</v>
      </c>
      <c r="I3" t="s">
        <v>0</v>
      </c>
      <c r="J3" t="s">
        <v>8</v>
      </c>
      <c r="L3" t="s">
        <v>0</v>
      </c>
      <c r="M3" t="s">
        <v>10</v>
      </c>
      <c r="N3" t="s">
        <v>11</v>
      </c>
      <c r="O3" t="s">
        <v>12</v>
      </c>
    </row>
    <row r="4" spans="1:15" x14ac:dyDescent="0.35">
      <c r="A4" t="s">
        <v>18</v>
      </c>
      <c r="B4" t="s">
        <v>21</v>
      </c>
      <c r="C4" s="1" t="s">
        <v>24</v>
      </c>
      <c r="D4" s="1">
        <v>123.3</v>
      </c>
      <c r="E4" s="2">
        <v>0.12</v>
      </c>
      <c r="F4" t="b">
        <v>0</v>
      </c>
      <c r="G4" s="1">
        <f>Initiatives[SavingsPotential]*1.19</f>
        <v>146.727</v>
      </c>
      <c r="I4" t="s">
        <v>24</v>
      </c>
      <c r="J4" t="s">
        <v>28</v>
      </c>
      <c r="L4" t="s">
        <v>31</v>
      </c>
      <c r="M4" t="s">
        <v>18</v>
      </c>
      <c r="N4" s="5">
        <v>43435</v>
      </c>
      <c r="O4" s="5">
        <v>43465</v>
      </c>
    </row>
    <row r="5" spans="1:15" x14ac:dyDescent="0.35">
      <c r="A5" t="s">
        <v>19</v>
      </c>
      <c r="B5" t="s">
        <v>22</v>
      </c>
      <c r="C5" s="1" t="s">
        <v>25</v>
      </c>
      <c r="D5" s="1"/>
      <c r="E5" s="2">
        <v>0</v>
      </c>
      <c r="F5" t="b">
        <v>1</v>
      </c>
      <c r="G5" s="1">
        <f>Initiatives[SavingsPotential]*1.19</f>
        <v>0</v>
      </c>
      <c r="I5" t="s">
        <v>25</v>
      </c>
      <c r="J5" t="s">
        <v>29</v>
      </c>
      <c r="L5" t="s">
        <v>32</v>
      </c>
      <c r="M5" t="s">
        <v>18</v>
      </c>
      <c r="N5" s="5">
        <v>43435</v>
      </c>
      <c r="O5" s="5">
        <v>43465</v>
      </c>
    </row>
    <row r="6" spans="1:15" x14ac:dyDescent="0.35">
      <c r="A6" t="s">
        <v>20</v>
      </c>
      <c r="B6" t="s">
        <v>23</v>
      </c>
      <c r="C6" s="1" t="s">
        <v>26</v>
      </c>
      <c r="D6" s="1">
        <v>456</v>
      </c>
      <c r="E6" s="2">
        <v>0.2</v>
      </c>
      <c r="F6" t="b">
        <v>0</v>
      </c>
      <c r="G6" s="1">
        <f>Initiatives[SavingsPotential]*1.19</f>
        <v>542.64</v>
      </c>
      <c r="I6" t="s">
        <v>26</v>
      </c>
      <c r="J6" t="s">
        <v>30</v>
      </c>
      <c r="L6" t="s">
        <v>33</v>
      </c>
      <c r="M6" t="s">
        <v>19</v>
      </c>
      <c r="N6" s="5">
        <v>43435</v>
      </c>
      <c r="O6" s="5">
        <v>43465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dimension ref="A1:B6"/>
  <sheetViews>
    <sheetView workbookViewId="0">
      <selection activeCell="E9" sqref="E9"/>
    </sheetView>
  </sheetViews>
  <sheetFormatPr defaultRowHeight="14.5" x14ac:dyDescent="0.35"/>
  <cols>
    <col min="1" max="1" width="20.81640625" bestFit="1" customWidth="1"/>
    <col min="2" max="2" width="15.1796875" bestFit="1" customWidth="1"/>
  </cols>
  <sheetData>
    <row r="1" spans="1:2" ht="15" thickBot="1" x14ac:dyDescent="0.4">
      <c r="A1" s="4" t="s">
        <v>16</v>
      </c>
      <c r="B1" s="6"/>
    </row>
    <row r="3" spans="1:2" x14ac:dyDescent="0.35">
      <c r="A3" t="s">
        <v>13</v>
      </c>
      <c r="B3" s="7" t="s">
        <v>34</v>
      </c>
    </row>
    <row r="4" spans="1:2" x14ac:dyDescent="0.35">
      <c r="A4" t="s">
        <v>14</v>
      </c>
      <c r="B4" s="7" t="s">
        <v>17</v>
      </c>
    </row>
    <row r="6" spans="1:2" x14ac:dyDescent="0.35">
      <c r="A6" t="s">
        <v>15</v>
      </c>
      <c r="B6" s="8">
        <v>43448.618900196758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CBF7E0-111D-410E-B77E-B45DFE4B5E1E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72b4710f-9dac-42ee-90a5-eb867dbd68a1"/>
    <ds:schemaRef ds:uri="http://www.w3.org/XML/1998/namespace"/>
    <ds:schemaRef ds:uri="23c7b6b5-bdb0-4ac9-8e3d-579e161add45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API Call and Result</vt:lpstr>
      <vt:lpstr>Table</vt:lpstr>
      <vt:lpstr>Object</vt:lpstr>
      <vt:lpstr>LastUpdated</vt:lpstr>
      <vt:lpstr>ProjectId</vt:lpstr>
      <vt:lpstr>ProjectLabel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Albert</dc:creator>
  <cp:lastModifiedBy>Peter Albert</cp:lastModifiedBy>
  <dcterms:created xsi:type="dcterms:W3CDTF">2019-01-11T08:47:43Z</dcterms:created>
  <dcterms:modified xsi:type="dcterms:W3CDTF">2019-01-11T09:16:50Z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